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clei dissociation " sheetId="1" state="visible" r:id="rId2"/>
    <sheet name="facs sorting 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<sst xmlns="http://schemas.openxmlformats.org/spreadsheetml/2006/main" count="228" uniqueCount="179">
  <si>
    <t xml:space="preserve">Date </t>
  </si>
  <si>
    <t xml:space="preserve">06/6/2023</t>
  </si>
  <si>
    <t xml:space="preserve">Goal </t>
  </si>
  <si>
    <t xml:space="preserve">nuclei dissociation of N. walkeri whole body </t>
  </si>
  <si>
    <t xml:space="preserve">Author</t>
  </si>
  <si>
    <t xml:space="preserve">Catherine Gatt, Fabilab (https://fabilab.org)</t>
  </si>
  <si>
    <t xml:space="preserve">Cleaning, buffer preparation, and equipment setup for nuclear dissociation</t>
  </si>
  <si>
    <t xml:space="preserve">~30 mins</t>
  </si>
  <si>
    <t xml:space="preserve">Step 1: Clean work area and tools, pre-cool euipment</t>
  </si>
  <si>
    <t xml:space="preserve">Clean bench top and dissection area with 70% ethanol followed by RNaseZAP</t>
  </si>
  <si>
    <t xml:space="preserve">Notes:</t>
  </si>
  <si>
    <t xml:space="preserve">Buffer bench: Keep RNase Free. Prepare all buffers here and perform all steps after tissue dissection.</t>
  </si>
  <si>
    <t xml:space="preserve">Termite bench: Clean, but reserve for termite container and tissue disection. </t>
  </si>
  <si>
    <t xml:space="preserve">Use seperate pipette tips.</t>
  </si>
  <si>
    <t xml:space="preserve">Get ice and container, wipe bottom of container with RNase (plus small tube holder).</t>
  </si>
  <si>
    <t xml:space="preserve">Measure Sucrose and dissolve in Nuclease Free Water as per Step 2.1. </t>
  </si>
  <si>
    <t xml:space="preserve">Vortex and place on ice.</t>
  </si>
  <si>
    <t xml:space="preserve">Spray pestles with RNaseZAP. Leave for a few seconds. </t>
  </si>
  <si>
    <t xml:space="preserve">Wipe clean with 70% ethanol. </t>
  </si>
  <si>
    <t xml:space="preserve">Pre-cool homogenizer and pestles on ice by placing them into a falcon tube </t>
  </si>
  <si>
    <t xml:space="preserve">and placing in ice. Repeat with dissection dishes, tweezers, and microdissection scissors.</t>
  </si>
  <si>
    <t xml:space="preserve">Pre-cool the centrifuge for 1.5 mL tubes to 4°C.</t>
  </si>
  <si>
    <t xml:space="preserve">Turn on centrifuge, check nothing inside. Close lid and set for 5 min at 4°C</t>
  </si>
  <si>
    <t xml:space="preserve">Step 2: Prepare Buffers and Stains </t>
  </si>
  <si>
    <r>
      <rPr>
        <sz val="11"/>
        <color rgb="FF000000"/>
        <rFont val="Calibri"/>
        <family val="0"/>
        <charset val="1"/>
      </rPr>
      <t xml:space="preserve">Prepare </t>
    </r>
    <r>
      <rPr>
        <b val="true"/>
        <sz val="11"/>
        <color rgb="FF000000"/>
        <rFont val="Calibri"/>
        <family val="0"/>
        <charset val="1"/>
      </rPr>
      <t xml:space="preserve">2 mL</t>
    </r>
    <r>
      <rPr>
        <sz val="11"/>
        <color rgb="FF000000"/>
        <rFont val="Calibri"/>
        <family val="0"/>
        <charset val="1"/>
      </rPr>
      <t xml:space="preserve"> of homogenization buffer using the calculations provided. PLACE ON ICE.</t>
    </r>
  </si>
  <si>
    <r>
      <rPr>
        <b val="true"/>
        <sz val="11"/>
        <color rgb="FF000000"/>
        <rFont val="Calibri"/>
        <family val="0"/>
        <charset val="1"/>
      </rPr>
      <t xml:space="preserve">Critical</t>
    </r>
    <r>
      <rPr>
        <sz val="11"/>
        <color rgb="FF000000"/>
        <rFont val="Calibri"/>
        <family val="0"/>
        <charset val="1"/>
      </rPr>
      <t xml:space="preserve">: Add reagents in the order provided in the table.</t>
    </r>
  </si>
  <si>
    <t xml:space="preserve">Homogenization Buffer</t>
  </si>
  <si>
    <t xml:space="preserve">Final Concentration</t>
  </si>
  <si>
    <t xml:space="preserve">Amount (μL)</t>
  </si>
  <si>
    <t xml:space="preserve">Nuclease Free water</t>
  </si>
  <si>
    <t xml:space="preserve">Sucrose (nuclease free) (g)</t>
  </si>
  <si>
    <t xml:space="preserve">250 mM</t>
  </si>
  <si>
    <t xml:space="preserve">1 M Tris (pH 8.0)</t>
  </si>
  <si>
    <t xml:space="preserve">10 mM</t>
  </si>
  <si>
    <t xml:space="preserve">1 M KCl</t>
  </si>
  <si>
    <t xml:space="preserve">25 mM</t>
  </si>
  <si>
    <t xml:space="preserve">1 M MgCl2</t>
  </si>
  <si>
    <t xml:space="preserve">5 mM</t>
  </si>
  <si>
    <t xml:space="preserve">10% Triton-x 100</t>
  </si>
  <si>
    <t xml:space="preserve">0.1%</t>
  </si>
  <si>
    <t xml:space="preserve">RNasin Plus</t>
  </si>
  <si>
    <t xml:space="preserve">0.5%</t>
  </si>
  <si>
    <t xml:space="preserve">50× protease inhibitor</t>
  </si>
  <si>
    <t xml:space="preserve">1x</t>
  </si>
  <si>
    <t xml:space="preserve">20 mM DTT</t>
  </si>
  <si>
    <t xml:space="preserve">0.1 mM</t>
  </si>
  <si>
    <t xml:space="preserve">Total (μL)</t>
  </si>
  <si>
    <r>
      <rPr>
        <sz val="11"/>
        <color rgb="FF000000"/>
        <rFont val="Calibri"/>
        <family val="0"/>
        <charset val="1"/>
      </rPr>
      <t xml:space="preserve">Prepare</t>
    </r>
    <r>
      <rPr>
        <b val="true"/>
        <sz val="11"/>
        <color rgb="FF000000"/>
        <rFont val="Calibri"/>
        <family val="0"/>
        <charset val="1"/>
      </rPr>
      <t xml:space="preserve"> 5 mL</t>
    </r>
    <r>
      <rPr>
        <sz val="11"/>
        <color rgb="FF000000"/>
        <rFont val="Calibri"/>
        <family val="0"/>
        <charset val="1"/>
      </rPr>
      <t xml:space="preserve"> of resuspension buffer using the calculations provided.</t>
    </r>
  </si>
  <si>
    <t xml:space="preserve">10% BSA</t>
  </si>
  <si>
    <t xml:space="preserve">1× PBS</t>
  </si>
  <si>
    <t xml:space="preserve">10% BSA powder (g)</t>
  </si>
  <si>
    <t xml:space="preserve">Total </t>
  </si>
  <si>
    <t xml:space="preserve">Resuspension Buffer</t>
  </si>
  <si>
    <t xml:space="preserve">Step 3: Set up reagents and equipment for dissociation and staining </t>
  </si>
  <si>
    <t xml:space="preserve">Add 1000 μL of homogenization buffer to each 4 x 1.5 mL tube </t>
  </si>
  <si>
    <t xml:space="preserve">PLACE BACK ON ICE</t>
  </si>
  <si>
    <t xml:space="preserve">Collect items from tissue culture room:</t>
  </si>
  <si>
    <t xml:space="preserve">100 μm 35 μm cell strainers, petri dishes for staining, </t>
  </si>
  <si>
    <t xml:space="preserve">large petri dish for dissection, falcon tubes, sryinge and needle</t>
  </si>
  <si>
    <t xml:space="preserve">Tissue dissection and collection</t>
  </si>
  <si>
    <t xml:space="preserve">~15 mins </t>
  </si>
  <si>
    <t xml:space="preserve">Step 1: Dissection</t>
  </si>
  <si>
    <t xml:space="preserve">Pick 32 termites out of termites enclosure and place onto dissection dish.</t>
  </si>
  <si>
    <t xml:space="preserve">Seperate into workers and soldiers </t>
  </si>
  <si>
    <t xml:space="preserve">Cut termites into pieces using scissors / tweezers.</t>
  </si>
  <si>
    <t xml:space="preserve">Place 6 termites into 2 * 1.5 mL tube</t>
  </si>
  <si>
    <t xml:space="preserve">PLACE ON ICE.</t>
  </si>
  <si>
    <t xml:space="preserve">Nuclei dissociation</t>
  </si>
  <si>
    <t xml:space="preserve">~ 45 mins</t>
  </si>
  <si>
    <t xml:space="preserve">Step 1: Grinding </t>
  </si>
  <si>
    <t xml:space="preserve">Release nuclei on ice by approx. 20 strokes / twists of pestle in 1.5 mL tube. </t>
  </si>
  <si>
    <t xml:space="preserve">Avoid inducing bubbles.</t>
  </si>
  <si>
    <t xml:space="preserve">Step 2: Centrifuge  </t>
  </si>
  <si>
    <t xml:space="preserve">Centrifuge for 10 min at 1,000 × g at 4°C.</t>
  </si>
  <si>
    <t xml:space="preserve">Discard supernatant and do not disturb the pellet.</t>
  </si>
  <si>
    <t xml:space="preserve">Re-suspend the nuclei using the desired amount of resuspension buffer. </t>
  </si>
  <si>
    <t xml:space="preserve">Pipet &gt; 20 times to completely re-suspend the nuclei in 1000 μL of resuspension buffer. </t>
  </si>
  <si>
    <t xml:space="preserve">Step 3: Filtering </t>
  </si>
  <si>
    <t xml:space="preserve">Filter samples using a 100 μm cell strainer into a 1.5 mL tube. </t>
  </si>
  <si>
    <t xml:space="preserve">Filter samples using a 35 μm cell strainer into a facs tube. </t>
  </si>
  <si>
    <t xml:space="preserve">Perform Step 4, record pictures. </t>
  </si>
  <si>
    <t xml:space="preserve">Check volume in facs tube. Aim to have approx. 1 mL of liquid per tube.</t>
  </si>
  <si>
    <t xml:space="preserve">Place cell strainer over the top of the falcon tube. Place pipette tip close to strainer </t>
  </si>
  <si>
    <t xml:space="preserve">without touching strainer.</t>
  </si>
  <si>
    <t xml:space="preserve">Tap the side of the tube to get buffer to go through strainer. </t>
  </si>
  <si>
    <t xml:space="preserve">Cut the end of pipette tip off for transferring solution from 2.3 to a falcon tube for step 3.1. </t>
  </si>
  <si>
    <t xml:space="preserve">Be careful when transferring solution  with cut tip because liquid will not hold well. </t>
  </si>
  <si>
    <t xml:space="preserve">Can perform this when transferring solution with large debris in it.</t>
  </si>
  <si>
    <t xml:space="preserve">Step 4: Staining </t>
  </si>
  <si>
    <t xml:space="preserve">Confirm Nuclei are Intact.</t>
  </si>
  <si>
    <t xml:space="preserve">Take 9 μL of sample and stain it with 1 μL of Dapi for more than 5 min, place it in the dark</t>
  </si>
  <si>
    <t xml:space="preserve">(under ice lid, dark pipette box) and visualize it under a an epifluorescence microscope.</t>
  </si>
  <si>
    <t xml:space="preserve">Dapi : PBS 1/100 Dilution:</t>
  </si>
  <si>
    <t xml:space="preserve">Dapi Solution</t>
  </si>
  <si>
    <t xml:space="preserve">Dapi</t>
  </si>
  <si>
    <t xml:space="preserve">Confirm number of nuclei.</t>
  </si>
  <si>
    <t xml:space="preserve">Take 10 μL of sample and stain it with 10 uL Trypan blue, visualise under light microscope,</t>
  </si>
  <si>
    <t xml:space="preserve"> count cells.</t>
  </si>
  <si>
    <t xml:space="preserve">Draw squares on a small petri dish and lable with sample number. Place sample in </t>
  </si>
  <si>
    <t xml:space="preserve">corresponding  squares, and then add dapi or trypan blue.</t>
  </si>
  <si>
    <t xml:space="preserve">Pipette to mix solution. You can place a cover slip over the solution to flatten out cells </t>
  </si>
  <si>
    <t xml:space="preserve">and make it easier to see them in the microscope.</t>
  </si>
  <si>
    <t xml:space="preserve">Take note which way cover slip is placed over the sample, as you don't want </t>
  </si>
  <si>
    <t xml:space="preserve">to mix them up.</t>
  </si>
  <si>
    <t xml:space="preserve">Do steps 4.1 and 4.2 quickly as such a small amount of liquid will evaporate quickly, </t>
  </si>
  <si>
    <t xml:space="preserve">adding a cover slip will slow this down slightly.</t>
  </si>
  <si>
    <t xml:space="preserve">To take pictures of cells through microscope using phone, use hand to keep phone steady. </t>
  </si>
  <si>
    <t xml:space="preserve">Much easier.</t>
  </si>
  <si>
    <t xml:space="preserve">Step 5: Prepare for Sorting</t>
  </si>
  <si>
    <t xml:space="preserve">Pack required reagents / equip:</t>
  </si>
  <si>
    <t xml:space="preserve">nuclei</t>
  </si>
  <si>
    <t xml:space="preserve">resuspension buffer</t>
  </si>
  <si>
    <t xml:space="preserve">1.5 mL tubes with _50_ of resuspension buffer</t>
  </si>
  <si>
    <t xml:space="preserve">Resources / Reagent</t>
  </si>
  <si>
    <t xml:space="preserve">Source </t>
  </si>
  <si>
    <r>
      <rPr>
        <b val="true"/>
        <sz val="12"/>
        <color rgb="FF000000"/>
        <rFont val="Calibri"/>
        <family val="0"/>
        <charset val="1"/>
      </rPr>
      <t xml:space="preserve">Identifier</t>
    </r>
    <r>
      <rPr>
        <sz val="12"/>
        <color rgb="FF000000"/>
        <rFont val="Calibri"/>
        <family val="0"/>
        <charset val="1"/>
      </rPr>
      <t xml:space="preserve"> </t>
    </r>
  </si>
  <si>
    <t xml:space="preserve">Location </t>
  </si>
  <si>
    <t xml:space="preserve">Notes</t>
  </si>
  <si>
    <t xml:space="preserve">Equipment</t>
  </si>
  <si>
    <t xml:space="preserve">ice / container </t>
  </si>
  <si>
    <t xml:space="preserve">next to sink </t>
  </si>
  <si>
    <t xml:space="preserve">pestle</t>
  </si>
  <si>
    <t xml:space="preserve">lab bench</t>
  </si>
  <si>
    <t xml:space="preserve">dissection dish</t>
  </si>
  <si>
    <t xml:space="preserve">TC room</t>
  </si>
  <si>
    <t xml:space="preserve">tweezers</t>
  </si>
  <si>
    <t xml:space="preserve">scissors</t>
  </si>
  <si>
    <t xml:space="preserve">2 x 15 mL concical tubes (for </t>
  </si>
  <si>
    <t xml:space="preserve">homogenization and resus.</t>
  </si>
  <si>
    <t xml:space="preserve">buffer)</t>
  </si>
  <si>
    <t xml:space="preserve">1.5 mL nuclease free tubes</t>
  </si>
  <si>
    <t xml:space="preserve">termites</t>
  </si>
  <si>
    <t xml:space="preserve">26G needle and syringe</t>
  </si>
  <si>
    <t xml:space="preserve">100 and 35 cell strainers</t>
  </si>
  <si>
    <t xml:space="preserve">TC room/ lab bench</t>
  </si>
  <si>
    <t xml:space="preserve">facs tubes </t>
  </si>
  <si>
    <t xml:space="preserve">small dishes for staining</t>
  </si>
  <si>
    <t xml:space="preserve">above lab bench</t>
  </si>
  <si>
    <t xml:space="preserve">Reagents</t>
  </si>
  <si>
    <t xml:space="preserve">70 % ethanol</t>
  </si>
  <si>
    <t xml:space="preserve">RNaseZap</t>
  </si>
  <si>
    <t xml:space="preserve">Sucrose (nuclease free)</t>
  </si>
  <si>
    <t xml:space="preserve">minus 4 fridge</t>
  </si>
  <si>
    <t xml:space="preserve">lab bench </t>
  </si>
  <si>
    <t xml:space="preserve">minus 20 freezer</t>
  </si>
  <si>
    <t xml:space="preserve">minus 4 fridge </t>
  </si>
  <si>
    <t xml:space="preserve">dapi</t>
  </si>
  <si>
    <t xml:space="preserve">trypan blue</t>
  </si>
  <si>
    <t xml:space="preserve">facs sorting of N. walkeri whole body </t>
  </si>
  <si>
    <t xml:space="preserve">FACS sorter: BD FACSAria III</t>
  </si>
  <si>
    <t xml:space="preserve">FACS of nuclei</t>
  </si>
  <si>
    <t xml:space="preserve">~2 hours </t>
  </si>
  <si>
    <t xml:space="preserve">Step 1: Sorting</t>
  </si>
  <si>
    <t xml:space="preserve">Set up the sorter prior to nuclear extraction to avoid leaving the nuclei on ice for too</t>
  </si>
  <si>
    <t xml:space="preserve">long. This will take roughly 30 min. </t>
  </si>
  <si>
    <t xml:space="preserve">After setting up the sorter, pre-cool the collection chamber to 4°C.</t>
  </si>
  <si>
    <t xml:space="preserve">(do this when actually sequencing nuclei)</t>
  </si>
  <si>
    <t xml:space="preserve">Prepare unstained nuclei for unstained control.</t>
  </si>
  <si>
    <t xml:space="preserve">Load one of the FACS tubes with unstained nuclei into sorter and run. </t>
  </si>
  <si>
    <t xml:space="preserve">Add DAPI (at 1:1000) to the remaining nuclei in the four tubes and run.</t>
  </si>
  <si>
    <t xml:space="preserve">Nuclei were not left to incubate with DAPI and results seemed fine. </t>
  </si>
  <si>
    <t xml:space="preserve">Nuclei were collected into enpendorf 1.5 mL tubes with approx. 50 μL of PBS in them. </t>
  </si>
  <si>
    <t xml:space="preserve">Step 2: Concentrate Nuclei </t>
  </si>
  <si>
    <t xml:space="preserve">Take 10 μL of sample and stain it with DAPI (1:1000)</t>
  </si>
  <si>
    <t xml:space="preserve">and visualize it under a an epifluorescence microscope.</t>
  </si>
  <si>
    <t xml:space="preserve">Record pictures. </t>
  </si>
  <si>
    <t xml:space="preserve">Load 10 μL diluted nuclei into a hemocytometer and count the number under </t>
  </si>
  <si>
    <t xml:space="preserve">a 20× objective of an epifluorescence microscope based on DAPI signal. </t>
  </si>
  <si>
    <t xml:space="preserve">Calculate the concentration of nuclei.</t>
  </si>
  <si>
    <t xml:space="preserve">Repeat 2.1 and 2.2 for all tubes. </t>
  </si>
  <si>
    <t xml:space="preserve">Centrifuge the collection tube for 6 min at 1,000 × g at 4°C.</t>
  </si>
  <si>
    <t xml:space="preserve">Carefully discard 700 uL of the supernatant without touching the bottom of the tube. </t>
  </si>
  <si>
    <t xml:space="preserve">The pellet is  too small to be seen. </t>
  </si>
  <si>
    <t xml:space="preserve">temporarily saved in a new nuclease-free tube on ice and discarded only after </t>
  </si>
  <si>
    <t xml:space="preserve">re-suspended nuclei are verified in the next step.</t>
  </si>
  <si>
    <t xml:space="preserve">Resuspend the pellet in the leftover supernatent </t>
  </si>
  <si>
    <t xml:space="preserve">Repeat Step 3.1.</t>
  </si>
  <si>
    <t xml:space="preserve">10X Genomics: If possible, concentrate cells to achieve a cell stock </t>
  </si>
  <si>
    <t xml:space="preserve">concentration of ~700-1200 cells/ul.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</si>
</sst>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trike val="true"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u val="single"/>
      <sz val="11"/>
      <color rgb="FF0563C1"/>
      <name val="Calibri"/>
      <family val="2"/>
      <charset val="1"/>
    </font>
    <font>
      <u val="single"/>
      <sz val="11"/>
      <color rgb="FF4472C4"/>
      <name val="Calibri"/>
      <family val="0"/>
      <charset val="1"/>
    </font>
    <font>
      <sz val="11"/>
      <color rgb="FF4472C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C6E0B4"/>
        <bgColor rgb="FFD9E1F2"/>
      </patternFill>
    </fill>
    <fill>
      <patternFill patternType="solid">
        <fgColor rgb="FFF2F2F2"/>
        <bgColor rgb="FFDDEBF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237960</xdr:colOff>
      <xdr:row>45</xdr:row>
      <xdr:rowOff>123840</xdr:rowOff>
    </xdr:from>
    <xdr:to>
      <xdr:col>5</xdr:col>
      <xdr:colOff>504360</xdr:colOff>
      <xdr:row>65</xdr:row>
      <xdr:rowOff>66240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37960" y="8934480"/>
          <a:ext cx="3924000" cy="375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66</xdr:row>
      <xdr:rowOff>152280</xdr:rowOff>
    </xdr:from>
    <xdr:to>
      <xdr:col>6</xdr:col>
      <xdr:colOff>37800</xdr:colOff>
      <xdr:row>87</xdr:row>
      <xdr:rowOff>142560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219240" y="12963240"/>
          <a:ext cx="4207680" cy="3990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91</xdr:row>
      <xdr:rowOff>114480</xdr:rowOff>
    </xdr:from>
    <xdr:to>
      <xdr:col>6</xdr:col>
      <xdr:colOff>47520</xdr:colOff>
      <xdr:row>102</xdr:row>
      <xdr:rowOff>66600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57240" y="17688240"/>
          <a:ext cx="4379400" cy="2047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abilab.org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453125" defaultRowHeight="15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13.14"/>
    <col collapsed="false" customWidth="false" hidden="false" outlineLevel="0" max="6" min="4" style="1" width="9.14"/>
    <col collapsed="false" customWidth="true" hidden="false" outlineLevel="0" max="7" min="7" style="1" width="11.57"/>
    <col collapsed="false" customWidth="false" hidden="false" outlineLevel="0" max="16384" min="8" style="1" width="9.14"/>
  </cols>
  <sheetData>
    <row r="1" customFormat="false" ht="18.75" hidden="false" customHeight="false" outlineLevel="0" collapsed="false">
      <c r="A1" s="2" t="s">
        <v>0</v>
      </c>
      <c r="B1" s="3"/>
      <c r="C1" s="4" t="s">
        <v>1</v>
      </c>
      <c r="D1" s="3"/>
      <c r="E1" s="3"/>
      <c r="F1" s="3"/>
      <c r="G1" s="3"/>
      <c r="H1" s="3"/>
      <c r="I1" s="3"/>
      <c r="J1" s="3"/>
      <c r="K1" s="3"/>
      <c r="L1" s="3"/>
    </row>
    <row r="2" customFormat="false" ht="18.75" hidden="false" customHeight="false" outlineLevel="0" collapsed="false">
      <c r="A2" s="5" t="s">
        <v>2</v>
      </c>
      <c r="B2" s="3"/>
      <c r="C2" s="5" t="s">
        <v>3</v>
      </c>
      <c r="D2" s="3"/>
      <c r="E2" s="3"/>
      <c r="F2" s="3"/>
      <c r="G2" s="3"/>
      <c r="H2" s="3"/>
      <c r="I2" s="3"/>
      <c r="J2" s="3"/>
      <c r="K2" s="3"/>
      <c r="L2" s="3"/>
    </row>
    <row r="3" customFormat="false" ht="20.85" hidden="false" customHeight="false" outlineLevel="0" collapsed="false">
      <c r="A3" s="5" t="s">
        <v>4</v>
      </c>
      <c r="B3" s="3"/>
      <c r="C3" s="2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8.75" hidden="false" customHeight="false" outlineLevel="0" collapsed="false">
      <c r="A4" s="6" t="s">
        <v>6</v>
      </c>
      <c r="B4" s="7"/>
      <c r="C4" s="7"/>
      <c r="D4" s="7"/>
      <c r="E4" s="7"/>
      <c r="F4" s="7"/>
      <c r="G4" s="7"/>
      <c r="H4" s="7"/>
      <c r="I4" s="7"/>
    </row>
    <row r="5" customFormat="false" ht="18.75" hidden="false" customHeight="false" outlineLevel="0" collapsed="false">
      <c r="A5" s="8" t="s">
        <v>7</v>
      </c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9" t="s">
        <v>8</v>
      </c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1" t="n">
        <v>1.1</v>
      </c>
      <c r="B7" s="1" t="s">
        <v>9</v>
      </c>
    </row>
    <row r="8" customFormat="false" ht="15" hidden="false" customHeight="false" outlineLevel="0" collapsed="false">
      <c r="A8" s="11" t="s">
        <v>10</v>
      </c>
    </row>
    <row r="9" customFormat="false" ht="15" hidden="false" customHeight="false" outlineLevel="0" collapsed="false">
      <c r="A9" s="1" t="s">
        <v>11</v>
      </c>
    </row>
    <row r="10" customFormat="false" ht="15" hidden="false" customHeight="false" outlineLevel="0" collapsed="false">
      <c r="A10" s="1" t="s">
        <v>12</v>
      </c>
    </row>
    <row r="11" customFormat="false" ht="15" hidden="false" customHeight="false" outlineLevel="0" collapsed="false">
      <c r="A11" s="1" t="s">
        <v>13</v>
      </c>
    </row>
    <row r="12" customFormat="false" ht="15" hidden="false" customHeight="false" outlineLevel="0" collapsed="false">
      <c r="A12" s="11" t="n">
        <v>1.2</v>
      </c>
      <c r="B12" s="1" t="s">
        <v>14</v>
      </c>
    </row>
    <row r="14" customFormat="false" ht="15" hidden="false" customHeight="false" outlineLevel="0" collapsed="false">
      <c r="A14" s="11" t="n">
        <v>1.3</v>
      </c>
      <c r="B14" s="1" t="s">
        <v>15</v>
      </c>
    </row>
    <row r="15" customFormat="false" ht="15" hidden="false" customHeight="false" outlineLevel="0" collapsed="false">
      <c r="B15" s="1" t="s">
        <v>16</v>
      </c>
    </row>
    <row r="17" customFormat="false" ht="15" hidden="false" customHeight="false" outlineLevel="0" collapsed="false">
      <c r="A17" s="11" t="n">
        <v>1.4</v>
      </c>
      <c r="B17" s="1" t="s">
        <v>17</v>
      </c>
    </row>
    <row r="18" customFormat="false" ht="15" hidden="false" customHeight="false" outlineLevel="0" collapsed="false">
      <c r="B18" s="1" t="s">
        <v>18</v>
      </c>
    </row>
    <row r="19" customFormat="false" ht="15" hidden="false" customHeight="false" outlineLevel="0" collapsed="false">
      <c r="B19" s="1" t="s">
        <v>19</v>
      </c>
    </row>
    <row r="20" customFormat="false" ht="15" hidden="false" customHeight="false" outlineLevel="0" collapsed="false">
      <c r="B20" s="1" t="s">
        <v>20</v>
      </c>
    </row>
    <row r="22" customFormat="false" ht="15" hidden="false" customHeight="false" outlineLevel="0" collapsed="false">
      <c r="A22" s="11" t="n">
        <v>1.5</v>
      </c>
      <c r="B22" s="1" t="s">
        <v>21</v>
      </c>
    </row>
    <row r="23" customFormat="false" ht="15" hidden="false" customHeight="false" outlineLevel="0" collapsed="false">
      <c r="B23" s="11" t="s">
        <v>10</v>
      </c>
    </row>
    <row r="24" customFormat="false" ht="15" hidden="false" customHeight="false" outlineLevel="0" collapsed="false">
      <c r="B24" s="1" t="s">
        <v>22</v>
      </c>
    </row>
    <row r="26" customFormat="false" ht="15" hidden="false" customHeight="false" outlineLevel="0" collapsed="false">
      <c r="A26" s="9" t="s">
        <v>23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1" t="n">
        <v>2.1</v>
      </c>
      <c r="B27" s="12" t="s">
        <v>24</v>
      </c>
    </row>
    <row r="28" customFormat="false" ht="15" hidden="false" customHeight="false" outlineLevel="0" collapsed="false">
      <c r="B28" s="13" t="s">
        <v>25</v>
      </c>
    </row>
    <row r="30" customFormat="false" ht="15" hidden="false" customHeight="false" outlineLevel="0" collapsed="false">
      <c r="A30" s="14" t="s">
        <v>26</v>
      </c>
      <c r="B30" s="15"/>
      <c r="C30" s="15"/>
      <c r="D30" s="14" t="s">
        <v>27</v>
      </c>
      <c r="E30" s="15"/>
      <c r="F30" s="15"/>
      <c r="G30" s="16" t="s">
        <v>28</v>
      </c>
    </row>
    <row r="31" customFormat="false" ht="15" hidden="false" customHeight="false" outlineLevel="0" collapsed="false">
      <c r="A31" s="1" t="s">
        <v>29</v>
      </c>
      <c r="F31" s="1" t="n">
        <v>9200</v>
      </c>
      <c r="G31" s="17" t="n">
        <f aca="false">F31/2</f>
        <v>4600</v>
      </c>
    </row>
    <row r="32" customFormat="false" ht="15" hidden="false" customHeight="false" outlineLevel="0" collapsed="false">
      <c r="A32" s="1" t="s">
        <v>30</v>
      </c>
      <c r="D32" s="1" t="s">
        <v>31</v>
      </c>
      <c r="F32" s="1" t="n">
        <v>0.856</v>
      </c>
      <c r="G32" s="17" t="n">
        <f aca="false">F32/2</f>
        <v>0.428</v>
      </c>
    </row>
    <row r="33" customFormat="false" ht="15" hidden="false" customHeight="false" outlineLevel="0" collapsed="false">
      <c r="A33" s="1" t="s">
        <v>32</v>
      </c>
      <c r="D33" s="1" t="s">
        <v>33</v>
      </c>
      <c r="F33" s="1" t="n">
        <v>100</v>
      </c>
      <c r="G33" s="17" t="n">
        <f aca="false">F33/2</f>
        <v>50</v>
      </c>
    </row>
    <row r="34" customFormat="false" ht="15" hidden="false" customHeight="false" outlineLevel="0" collapsed="false">
      <c r="A34" s="1" t="s">
        <v>34</v>
      </c>
      <c r="D34" s="1" t="s">
        <v>35</v>
      </c>
      <c r="F34" s="1" t="n">
        <v>250</v>
      </c>
      <c r="G34" s="17" t="n">
        <f aca="false">F34/2</f>
        <v>125</v>
      </c>
    </row>
    <row r="35" customFormat="false" ht="15" hidden="false" customHeight="false" outlineLevel="0" collapsed="false">
      <c r="A35" s="1" t="s">
        <v>36</v>
      </c>
      <c r="D35" s="1" t="s">
        <v>37</v>
      </c>
      <c r="F35" s="1" t="n">
        <v>50</v>
      </c>
      <c r="G35" s="17" t="n">
        <f aca="false">F35/2</f>
        <v>25</v>
      </c>
    </row>
    <row r="36" customFormat="false" ht="15" hidden="false" customHeight="false" outlineLevel="0" collapsed="false">
      <c r="A36" s="1" t="s">
        <v>38</v>
      </c>
      <c r="D36" s="18" t="s">
        <v>39</v>
      </c>
      <c r="F36" s="1" t="n">
        <v>100</v>
      </c>
      <c r="G36" s="17" t="n">
        <f aca="false">F36/2</f>
        <v>50</v>
      </c>
    </row>
    <row r="37" customFormat="false" ht="15" hidden="false" customHeight="false" outlineLevel="0" collapsed="false">
      <c r="A37" s="1" t="s">
        <v>40</v>
      </c>
      <c r="D37" s="1" t="s">
        <v>41</v>
      </c>
      <c r="F37" s="1" t="n">
        <v>50</v>
      </c>
      <c r="G37" s="17" t="n">
        <f aca="false">F37/2</f>
        <v>25</v>
      </c>
      <c r="I37" s="19"/>
    </row>
    <row r="38" customFormat="false" ht="15" hidden="false" customHeight="false" outlineLevel="0" collapsed="false">
      <c r="A38" s="1" t="s">
        <v>42</v>
      </c>
      <c r="D38" s="1" t="s">
        <v>43</v>
      </c>
      <c r="F38" s="1" t="n">
        <v>200</v>
      </c>
      <c r="G38" s="17" t="n">
        <f aca="false">F38/2</f>
        <v>100</v>
      </c>
      <c r="I38" s="19"/>
    </row>
    <row r="39" customFormat="false" ht="15" hidden="false" customHeight="false" outlineLevel="0" collapsed="false">
      <c r="A39" s="1" t="s">
        <v>44</v>
      </c>
      <c r="D39" s="1" t="s">
        <v>45</v>
      </c>
      <c r="F39" s="1" t="n">
        <v>50</v>
      </c>
      <c r="G39" s="17" t="n">
        <f aca="false">F39/2</f>
        <v>25</v>
      </c>
    </row>
    <row r="40" customFormat="false" ht="15" hidden="false" customHeight="false" outlineLevel="0" collapsed="false">
      <c r="A40" s="14" t="s">
        <v>46</v>
      </c>
      <c r="B40" s="15"/>
      <c r="C40" s="15"/>
      <c r="D40" s="15"/>
      <c r="E40" s="15"/>
      <c r="F40" s="14" t="n">
        <f aca="false">SUM(F31,F33:F39)</f>
        <v>10000</v>
      </c>
      <c r="G40" s="20" t="n">
        <f aca="false">F40/2</f>
        <v>5000</v>
      </c>
      <c r="I40" s="11"/>
    </row>
    <row r="42" customFormat="false" ht="15" hidden="false" customHeight="false" outlineLevel="0" collapsed="false">
      <c r="A42" s="11" t="n">
        <v>2.2</v>
      </c>
      <c r="B42" s="12" t="s">
        <v>47</v>
      </c>
    </row>
    <row r="44" customFormat="false" ht="15" hidden="false" customHeight="false" outlineLevel="0" collapsed="false">
      <c r="A44" s="14" t="s">
        <v>48</v>
      </c>
      <c r="B44" s="15"/>
      <c r="C44" s="15"/>
      <c r="D44" s="14" t="s">
        <v>28</v>
      </c>
      <c r="E44" s="21"/>
    </row>
    <row r="45" customFormat="false" ht="15" hidden="false" customHeight="false" outlineLevel="0" collapsed="false">
      <c r="A45" s="1" t="s">
        <v>49</v>
      </c>
      <c r="D45" s="1" t="n">
        <v>1000</v>
      </c>
      <c r="E45" s="22" t="n">
        <f aca="false">D45/2</f>
        <v>500</v>
      </c>
    </row>
    <row r="46" customFormat="false" ht="15" hidden="false" customHeight="false" outlineLevel="0" collapsed="false">
      <c r="A46" s="1" t="s">
        <v>50</v>
      </c>
      <c r="D46" s="1" t="n">
        <v>0.1</v>
      </c>
      <c r="E46" s="23" t="n">
        <f aca="false">D46/2</f>
        <v>0.05</v>
      </c>
    </row>
    <row r="47" customFormat="false" ht="15" hidden="false" customHeight="false" outlineLevel="0" collapsed="false">
      <c r="A47" s="14" t="s">
        <v>51</v>
      </c>
      <c r="B47" s="15"/>
      <c r="C47" s="15"/>
      <c r="D47" s="14" t="n">
        <v>1000</v>
      </c>
      <c r="E47" s="24" t="n">
        <f aca="false">D47/2</f>
        <v>500</v>
      </c>
    </row>
    <row r="48" customFormat="false" ht="15" hidden="false" customHeight="false" outlineLevel="0" collapsed="false">
      <c r="A48" s="11"/>
    </row>
    <row r="51" customFormat="false" ht="15" hidden="false" customHeight="false" outlineLevel="0" collapsed="false">
      <c r="A51" s="14" t="s">
        <v>52</v>
      </c>
      <c r="B51" s="15"/>
      <c r="C51" s="15"/>
      <c r="D51" s="14" t="s">
        <v>27</v>
      </c>
      <c r="E51" s="15"/>
      <c r="F51" s="15"/>
      <c r="G51" s="16" t="s">
        <v>28</v>
      </c>
    </row>
    <row r="52" customFormat="false" ht="15" hidden="false" customHeight="false" outlineLevel="0" collapsed="false">
      <c r="A52" s="1" t="s">
        <v>49</v>
      </c>
      <c r="F52" s="1" t="n">
        <v>9400</v>
      </c>
      <c r="G52" s="17" t="n">
        <f aca="false">F52/2</f>
        <v>4700</v>
      </c>
    </row>
    <row r="53" customFormat="false" ht="15" hidden="false" customHeight="false" outlineLevel="0" collapsed="false">
      <c r="A53" s="1" t="s">
        <v>48</v>
      </c>
      <c r="D53" s="1" t="s">
        <v>41</v>
      </c>
      <c r="F53" s="1" t="n">
        <v>500</v>
      </c>
      <c r="G53" s="17" t="n">
        <f aca="false">F53/2</f>
        <v>250</v>
      </c>
    </row>
    <row r="54" customFormat="false" ht="15" hidden="false" customHeight="false" outlineLevel="0" collapsed="false">
      <c r="A54" s="1" t="s">
        <v>40</v>
      </c>
      <c r="D54" s="1" t="s">
        <v>41</v>
      </c>
      <c r="F54" s="1" t="n">
        <v>100</v>
      </c>
      <c r="G54" s="17" t="n">
        <f aca="false">F54/2</f>
        <v>50</v>
      </c>
      <c r="I54" s="19"/>
    </row>
    <row r="55" customFormat="false" ht="15" hidden="false" customHeight="false" outlineLevel="0" collapsed="false">
      <c r="A55" s="14" t="s">
        <v>51</v>
      </c>
      <c r="B55" s="15"/>
      <c r="C55" s="15"/>
      <c r="D55" s="15"/>
      <c r="E55" s="15"/>
      <c r="F55" s="14" t="n">
        <v>10000</v>
      </c>
      <c r="G55" s="25" t="n">
        <f aca="false">F55/2</f>
        <v>5000</v>
      </c>
      <c r="H55" s="13"/>
      <c r="I55" s="11"/>
    </row>
    <row r="57" customFormat="false" ht="15" hidden="false" customHeight="false" outlineLevel="0" collapsed="false">
      <c r="A57" s="9" t="s">
        <v>53</v>
      </c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1" t="n">
        <v>3.1</v>
      </c>
      <c r="B58" s="12" t="s">
        <v>54</v>
      </c>
    </row>
    <row r="59" customFormat="false" ht="15" hidden="false" customHeight="false" outlineLevel="0" collapsed="false">
      <c r="B59" s="11" t="s">
        <v>10</v>
      </c>
    </row>
    <row r="60" customFormat="false" ht="15" hidden="false" customHeight="false" outlineLevel="0" collapsed="false">
      <c r="B60" s="1" t="s">
        <v>55</v>
      </c>
    </row>
    <row r="61" customFormat="false" ht="15" hidden="false" customHeight="false" outlineLevel="0" collapsed="false">
      <c r="A61" s="11" t="n">
        <v>3.2</v>
      </c>
      <c r="B61" s="1" t="s">
        <v>56</v>
      </c>
    </row>
    <row r="62" customFormat="false" ht="15" hidden="false" customHeight="false" outlineLevel="0" collapsed="false">
      <c r="B62" s="1" t="s">
        <v>57</v>
      </c>
    </row>
    <row r="63" customFormat="false" ht="15" hidden="false" customHeight="false" outlineLevel="0" collapsed="false">
      <c r="B63" s="1" t="s">
        <v>58</v>
      </c>
    </row>
    <row r="65" customFormat="false" ht="18.75" hidden="false" customHeight="false" outlineLevel="0" collapsed="false">
      <c r="A65" s="6" t="s">
        <v>59</v>
      </c>
      <c r="B65" s="7"/>
      <c r="C65" s="7"/>
      <c r="D65" s="7"/>
      <c r="E65" s="26"/>
      <c r="F65" s="26"/>
      <c r="G65" s="26"/>
      <c r="H65" s="26"/>
      <c r="I65" s="26"/>
    </row>
    <row r="66" customFormat="false" ht="18.75" hidden="false" customHeight="false" outlineLevel="0" collapsed="false">
      <c r="A66" s="8" t="s">
        <v>60</v>
      </c>
      <c r="B66" s="7"/>
      <c r="C66" s="7"/>
      <c r="D66" s="7"/>
      <c r="E66" s="26"/>
      <c r="F66" s="26"/>
      <c r="G66" s="26"/>
      <c r="H66" s="26"/>
      <c r="I66" s="26"/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6"/>
      <c r="G67" s="26"/>
      <c r="H67" s="26"/>
      <c r="I67" s="26"/>
    </row>
    <row r="68" customFormat="false" ht="15" hidden="false" customHeight="false" outlineLevel="0" collapsed="false">
      <c r="A68" s="9" t="s">
        <v>61</v>
      </c>
      <c r="B68" s="10"/>
      <c r="C68" s="10"/>
      <c r="D68" s="10"/>
      <c r="E68" s="10"/>
      <c r="F68" s="10"/>
      <c r="G68" s="10"/>
      <c r="H68" s="10"/>
      <c r="I68" s="10"/>
    </row>
    <row r="69" customFormat="false" ht="15" hidden="false" customHeight="false" outlineLevel="0" collapsed="false">
      <c r="A69" s="11" t="n">
        <v>1.1</v>
      </c>
      <c r="B69" s="1" t="s">
        <v>62</v>
      </c>
    </row>
    <row r="70" customFormat="false" ht="15" hidden="false" customHeight="false" outlineLevel="0" collapsed="false">
      <c r="B70" s="1" t="s">
        <v>63</v>
      </c>
    </row>
    <row r="71" customFormat="false" ht="15" hidden="false" customHeight="false" outlineLevel="0" collapsed="false">
      <c r="A71" s="11" t="n">
        <v>1.2</v>
      </c>
      <c r="B71" s="1" t="s">
        <v>64</v>
      </c>
    </row>
    <row r="73" customFormat="false" ht="15" hidden="false" customHeight="false" outlineLevel="0" collapsed="false">
      <c r="A73" s="13" t="n">
        <v>1.3</v>
      </c>
      <c r="B73" s="1" t="s">
        <v>65</v>
      </c>
    </row>
    <row r="74" customFormat="false" ht="15" hidden="false" customHeight="false" outlineLevel="0" collapsed="false">
      <c r="A74" s="11"/>
      <c r="B74" s="1" t="s">
        <v>65</v>
      </c>
    </row>
    <row r="75" customFormat="false" ht="15" hidden="false" customHeight="false" outlineLevel="0" collapsed="false">
      <c r="B75" s="1" t="s">
        <v>66</v>
      </c>
    </row>
    <row r="76" customFormat="false" ht="18.75" hidden="false" customHeight="false" outlineLevel="0" collapsed="false">
      <c r="A76" s="6" t="s">
        <v>67</v>
      </c>
      <c r="B76" s="7"/>
      <c r="C76" s="7"/>
      <c r="D76" s="26"/>
      <c r="E76" s="26"/>
      <c r="F76" s="26"/>
      <c r="G76" s="26"/>
      <c r="H76" s="26"/>
      <c r="I76" s="26"/>
    </row>
    <row r="77" customFormat="false" ht="18.75" hidden="false" customHeight="false" outlineLevel="0" collapsed="false">
      <c r="A77" s="8" t="s">
        <v>68</v>
      </c>
      <c r="B77" s="7"/>
      <c r="C77" s="7"/>
      <c r="D77" s="26"/>
      <c r="E77" s="26"/>
      <c r="F77" s="26"/>
      <c r="G77" s="26"/>
      <c r="H77" s="26"/>
      <c r="I77" s="26"/>
    </row>
    <row r="78" customFormat="false" ht="15" hidden="false" customHeight="false" outlineLevel="0" collapsed="false">
      <c r="A78" s="9" t="s">
        <v>69</v>
      </c>
      <c r="B78" s="10"/>
      <c r="C78" s="10"/>
      <c r="D78" s="10"/>
      <c r="E78" s="10"/>
      <c r="F78" s="10"/>
      <c r="G78" s="10"/>
      <c r="H78" s="10"/>
      <c r="I78" s="10"/>
    </row>
    <row r="79" customFormat="false" ht="15" hidden="false" customHeight="false" outlineLevel="0" collapsed="false">
      <c r="A79" s="11" t="n">
        <v>1.1</v>
      </c>
      <c r="B79" s="12" t="s">
        <v>70</v>
      </c>
    </row>
    <row r="80" customFormat="false" ht="15" hidden="false" customHeight="false" outlineLevel="0" collapsed="false">
      <c r="B80" s="1" t="s">
        <v>71</v>
      </c>
    </row>
    <row r="81" customFormat="false" ht="15" hidden="false" customHeight="false" outlineLevel="0" collapsed="false">
      <c r="A81" s="11"/>
    </row>
    <row r="82" customFormat="false" ht="15" hidden="false" customHeight="false" outlineLevel="0" collapsed="false">
      <c r="A82" s="11"/>
      <c r="C82" s="27"/>
      <c r="D82" s="27"/>
      <c r="E82" s="27"/>
      <c r="F82" s="27"/>
      <c r="G82" s="27"/>
    </row>
    <row r="83" customFormat="false" ht="15" hidden="false" customHeight="false" outlineLevel="0" collapsed="false">
      <c r="B83" s="28"/>
    </row>
    <row r="84" customFormat="false" ht="15" hidden="false" customHeight="false" outlineLevel="0" collapsed="false">
      <c r="C84" s="11"/>
    </row>
    <row r="85" customFormat="false" ht="15" hidden="false" customHeight="false" outlineLevel="0" collapsed="false">
      <c r="A85" s="9" t="s">
        <v>72</v>
      </c>
      <c r="B85" s="10"/>
      <c r="C85" s="10"/>
      <c r="D85" s="10"/>
      <c r="E85" s="10"/>
      <c r="F85" s="10"/>
      <c r="G85" s="10"/>
      <c r="H85" s="10"/>
      <c r="I85" s="10"/>
    </row>
    <row r="86" customFormat="false" ht="15" hidden="false" customHeight="false" outlineLevel="0" collapsed="false">
      <c r="A86" s="11" t="n">
        <v>2.1</v>
      </c>
      <c r="B86" s="1" t="s">
        <v>73</v>
      </c>
    </row>
    <row r="87" customFormat="false" ht="15" hidden="false" customHeight="false" outlineLevel="0" collapsed="false">
      <c r="A87" s="11"/>
      <c r="B87" s="11"/>
    </row>
    <row r="88" customFormat="false" ht="15" hidden="false" customHeight="false" outlineLevel="0" collapsed="false">
      <c r="A88" s="11" t="n">
        <v>2.2</v>
      </c>
      <c r="B88" s="12" t="s">
        <v>74</v>
      </c>
    </row>
    <row r="89" customFormat="false" ht="15" hidden="false" customHeight="false" outlineLevel="0" collapsed="false">
      <c r="A89" s="11"/>
    </row>
    <row r="90" customFormat="false" ht="15" hidden="false" customHeight="false" outlineLevel="0" collapsed="false">
      <c r="A90" s="11" t="n">
        <v>2.3</v>
      </c>
      <c r="B90" s="12" t="s">
        <v>75</v>
      </c>
    </row>
    <row r="91" customFormat="false" ht="15" hidden="false" customHeight="false" outlineLevel="0" collapsed="false">
      <c r="B91" s="1" t="s">
        <v>76</v>
      </c>
    </row>
    <row r="93" customFormat="false" ht="15" hidden="false" customHeight="false" outlineLevel="0" collapsed="false">
      <c r="A93" s="11"/>
    </row>
    <row r="95" customFormat="false" ht="15" hidden="false" customHeight="false" outlineLevel="0" collapsed="false">
      <c r="A95" s="9" t="s">
        <v>77</v>
      </c>
      <c r="B95" s="10"/>
      <c r="C95" s="10"/>
      <c r="D95" s="10"/>
      <c r="E95" s="10"/>
      <c r="F95" s="10"/>
      <c r="G95" s="10"/>
      <c r="H95" s="10"/>
      <c r="I95" s="10"/>
    </row>
    <row r="96" customFormat="false" ht="15" hidden="false" customHeight="false" outlineLevel="0" collapsed="false">
      <c r="A96" s="11" t="n">
        <v>3.1</v>
      </c>
      <c r="B96" s="12" t="s">
        <v>78</v>
      </c>
    </row>
    <row r="97" customFormat="false" ht="15" hidden="false" customHeight="false" outlineLevel="0" collapsed="false">
      <c r="A97" s="11"/>
      <c r="B97" s="13"/>
    </row>
    <row r="98" customFormat="false" ht="15" hidden="false" customHeight="false" outlineLevel="0" collapsed="false">
      <c r="A98" s="11" t="n">
        <v>3.2</v>
      </c>
      <c r="B98" s="12" t="s">
        <v>79</v>
      </c>
    </row>
    <row r="99" customFormat="false" ht="15" hidden="false" customHeight="false" outlineLevel="0" collapsed="false">
      <c r="A99" s="11"/>
      <c r="B99" s="12" t="s">
        <v>80</v>
      </c>
    </row>
    <row r="101" customFormat="false" ht="15" hidden="false" customHeight="false" outlineLevel="0" collapsed="false">
      <c r="A101" s="11" t="n">
        <v>3.3</v>
      </c>
      <c r="B101" s="1" t="s">
        <v>81</v>
      </c>
    </row>
    <row r="102" customFormat="false" ht="15" hidden="false" customHeight="false" outlineLevel="0" collapsed="false">
      <c r="B102" s="13" t="s">
        <v>10</v>
      </c>
    </row>
    <row r="103" customFormat="false" ht="15" hidden="false" customHeight="false" outlineLevel="0" collapsed="false">
      <c r="B103" s="1" t="s">
        <v>82</v>
      </c>
    </row>
    <row r="104" customFormat="false" ht="15" hidden="false" customHeight="false" outlineLevel="0" collapsed="false">
      <c r="B104" s="1" t="s">
        <v>83</v>
      </c>
    </row>
    <row r="105" customFormat="false" ht="15" hidden="false" customHeight="false" outlineLevel="0" collapsed="false">
      <c r="B105" s="1" t="s">
        <v>84</v>
      </c>
    </row>
    <row r="106" customFormat="false" ht="15" hidden="false" customHeight="false" outlineLevel="0" collapsed="false">
      <c r="B106" s="1" t="s">
        <v>85</v>
      </c>
    </row>
    <row r="107" customFormat="false" ht="15" hidden="false" customHeight="false" outlineLevel="0" collapsed="false">
      <c r="B107" s="1" t="s">
        <v>86</v>
      </c>
    </row>
    <row r="108" customFormat="false" ht="15" hidden="false" customHeight="false" outlineLevel="0" collapsed="false">
      <c r="B108" s="12" t="s">
        <v>87</v>
      </c>
    </row>
    <row r="110" customFormat="false" ht="15" hidden="false" customHeight="false" outlineLevel="0" collapsed="false">
      <c r="A110" s="9" t="s">
        <v>88</v>
      </c>
      <c r="B110" s="10"/>
      <c r="C110" s="10"/>
      <c r="D110" s="10"/>
      <c r="E110" s="10"/>
      <c r="F110" s="10"/>
      <c r="G110" s="10"/>
      <c r="H110" s="10"/>
      <c r="I110" s="10"/>
    </row>
    <row r="111" customFormat="false" ht="15" hidden="false" customHeight="false" outlineLevel="0" collapsed="false">
      <c r="A111" s="11" t="n">
        <v>4.1</v>
      </c>
      <c r="B111" s="12" t="s">
        <v>89</v>
      </c>
    </row>
    <row r="112" customFormat="false" ht="15" hidden="false" customHeight="false" outlineLevel="0" collapsed="false">
      <c r="A112" s="11"/>
      <c r="B112" s="1" t="s">
        <v>90</v>
      </c>
    </row>
    <row r="113" customFormat="false" ht="15" hidden="false" customHeight="false" outlineLevel="0" collapsed="false">
      <c r="B113" s="1" t="s">
        <v>91</v>
      </c>
    </row>
    <row r="114" customFormat="false" ht="15" hidden="false" customHeight="false" outlineLevel="0" collapsed="false">
      <c r="A114" s="11"/>
    </row>
    <row r="115" customFormat="false" ht="15" hidden="false" customHeight="false" outlineLevel="0" collapsed="false">
      <c r="B115" s="1" t="s">
        <v>92</v>
      </c>
    </row>
    <row r="116" customFormat="false" ht="15" hidden="false" customHeight="false" outlineLevel="0" collapsed="false">
      <c r="B116" s="14" t="s">
        <v>93</v>
      </c>
      <c r="C116" s="15"/>
      <c r="D116" s="15"/>
      <c r="E116" s="14" t="s">
        <v>28</v>
      </c>
      <c r="F116" s="15"/>
    </row>
    <row r="117" customFormat="false" ht="15" hidden="false" customHeight="false" outlineLevel="0" collapsed="false">
      <c r="B117" s="1" t="s">
        <v>49</v>
      </c>
      <c r="E117" s="1" t="n">
        <v>99</v>
      </c>
      <c r="F117" s="15" t="n">
        <f aca="false">E117*5</f>
        <v>495</v>
      </c>
    </row>
    <row r="118" customFormat="false" ht="15" hidden="false" customHeight="false" outlineLevel="0" collapsed="false">
      <c r="B118" s="1" t="s">
        <v>94</v>
      </c>
      <c r="E118" s="1" t="n">
        <v>1</v>
      </c>
      <c r="F118" s="15" t="n">
        <f aca="false">E118*5</f>
        <v>5</v>
      </c>
    </row>
    <row r="119" customFormat="false" ht="15" hidden="false" customHeight="false" outlineLevel="0" collapsed="false">
      <c r="B119" s="14" t="s">
        <v>51</v>
      </c>
      <c r="C119" s="15"/>
      <c r="D119" s="15"/>
      <c r="E119" s="15" t="n">
        <v>100</v>
      </c>
      <c r="F119" s="15" t="n">
        <f aca="false">E119*5</f>
        <v>500</v>
      </c>
    </row>
    <row r="121" customFormat="false" ht="15" hidden="false" customHeight="false" outlineLevel="0" collapsed="false">
      <c r="A121" s="11" t="n">
        <v>4.2</v>
      </c>
      <c r="B121" s="12" t="s">
        <v>95</v>
      </c>
    </row>
    <row r="122" customFormat="false" ht="15" hidden="false" customHeight="false" outlineLevel="0" collapsed="false">
      <c r="B122" s="1" t="s">
        <v>96</v>
      </c>
    </row>
    <row r="123" customFormat="false" ht="15" hidden="false" customHeight="false" outlineLevel="0" collapsed="false">
      <c r="B123" s="1" t="s">
        <v>97</v>
      </c>
    </row>
    <row r="125" customFormat="false" ht="15" hidden="false" customHeight="false" outlineLevel="0" collapsed="false">
      <c r="B125" s="11" t="s">
        <v>10</v>
      </c>
    </row>
    <row r="126" customFormat="false" ht="15" hidden="false" customHeight="false" outlineLevel="0" collapsed="false">
      <c r="B126" s="1" t="s">
        <v>98</v>
      </c>
    </row>
    <row r="127" customFormat="false" ht="15" hidden="false" customHeight="false" outlineLevel="0" collapsed="false">
      <c r="B127" s="1" t="s">
        <v>99</v>
      </c>
    </row>
    <row r="128" customFormat="false" ht="15" hidden="false" customHeight="false" outlineLevel="0" collapsed="false">
      <c r="B128" s="1" t="s">
        <v>100</v>
      </c>
    </row>
    <row r="129" customFormat="false" ht="15" hidden="false" customHeight="false" outlineLevel="0" collapsed="false">
      <c r="B129" s="1" t="s">
        <v>101</v>
      </c>
    </row>
    <row r="130" customFormat="false" ht="15" hidden="false" customHeight="false" outlineLevel="0" collapsed="false">
      <c r="B130" s="1" t="s">
        <v>102</v>
      </c>
    </row>
    <row r="131" customFormat="false" ht="15" hidden="false" customHeight="false" outlineLevel="0" collapsed="false">
      <c r="B131" s="1" t="s">
        <v>103</v>
      </c>
    </row>
    <row r="132" customFormat="false" ht="15" hidden="false" customHeight="false" outlineLevel="0" collapsed="false">
      <c r="B132" s="12" t="s">
        <v>104</v>
      </c>
    </row>
    <row r="133" customFormat="false" ht="15" hidden="false" customHeight="false" outlineLevel="0" collapsed="false">
      <c r="B133" s="1" t="s">
        <v>105</v>
      </c>
    </row>
    <row r="134" customFormat="false" ht="15" hidden="false" customHeight="false" outlineLevel="0" collapsed="false">
      <c r="B134" s="1" t="s">
        <v>106</v>
      </c>
    </row>
    <row r="135" customFormat="false" ht="15" hidden="false" customHeight="false" outlineLevel="0" collapsed="false">
      <c r="B135" s="1" t="s">
        <v>107</v>
      </c>
    </row>
    <row r="137" customFormat="false" ht="15" hidden="false" customHeight="false" outlineLevel="0" collapsed="false">
      <c r="A137" s="9" t="s">
        <v>108</v>
      </c>
      <c r="B137" s="10"/>
      <c r="C137" s="10"/>
      <c r="D137" s="10"/>
      <c r="E137" s="10"/>
      <c r="F137" s="10"/>
      <c r="G137" s="10"/>
      <c r="H137" s="10"/>
      <c r="I137" s="10"/>
    </row>
    <row r="139" customFormat="false" ht="15" hidden="false" customHeight="false" outlineLevel="0" collapsed="false">
      <c r="A139" s="11" t="n">
        <v>5.1</v>
      </c>
      <c r="B139" s="1" t="s">
        <v>109</v>
      </c>
    </row>
    <row r="140" customFormat="false" ht="15" hidden="false" customHeight="false" outlineLevel="0" collapsed="false">
      <c r="B140" s="1" t="s">
        <v>93</v>
      </c>
    </row>
    <row r="141" customFormat="false" ht="15" hidden="false" customHeight="false" outlineLevel="0" collapsed="false">
      <c r="B141" s="1" t="s">
        <v>110</v>
      </c>
    </row>
    <row r="142" customFormat="false" ht="15" hidden="false" customHeight="false" outlineLevel="0" collapsed="false">
      <c r="B142" s="1" t="s">
        <v>111</v>
      </c>
    </row>
    <row r="143" customFormat="false" ht="15" hidden="false" customHeight="false" outlineLevel="0" collapsed="false">
      <c r="B143" s="1" t="s">
        <v>112</v>
      </c>
    </row>
    <row r="150" customFormat="false" ht="15.75" hidden="false" customHeight="false" outlineLevel="0" collapsed="false">
      <c r="A150" s="29" t="s">
        <v>113</v>
      </c>
      <c r="B150" s="30"/>
      <c r="C150" s="30"/>
      <c r="D150" s="31" t="s">
        <v>114</v>
      </c>
      <c r="E150" s="32" t="s">
        <v>115</v>
      </c>
      <c r="F150" s="33"/>
      <c r="G150" s="34" t="s">
        <v>116</v>
      </c>
      <c r="H150" s="34" t="s">
        <v>117</v>
      </c>
      <c r="I150" s="35"/>
    </row>
    <row r="151" customFormat="false" ht="15" hidden="false" customHeight="false" outlineLevel="0" collapsed="false">
      <c r="A151" s="36" t="s">
        <v>118</v>
      </c>
      <c r="B151" s="37"/>
      <c r="C151" s="37"/>
      <c r="D151" s="37"/>
      <c r="E151" s="37"/>
      <c r="F151" s="37"/>
      <c r="G151" s="37"/>
      <c r="H151" s="37"/>
      <c r="I151" s="38"/>
    </row>
    <row r="152" customFormat="false" ht="15" hidden="false" customHeight="false" outlineLevel="0" collapsed="false">
      <c r="A152" s="39" t="s">
        <v>119</v>
      </c>
      <c r="B152" s="37"/>
      <c r="C152" s="37"/>
      <c r="D152" s="37"/>
      <c r="E152" s="37"/>
      <c r="F152" s="37"/>
      <c r="G152" s="37" t="s">
        <v>120</v>
      </c>
      <c r="H152" s="37"/>
      <c r="I152" s="38"/>
    </row>
    <row r="153" customFormat="false" ht="15" hidden="false" customHeight="false" outlineLevel="0" collapsed="false">
      <c r="A153" s="39" t="s">
        <v>121</v>
      </c>
      <c r="B153" s="37"/>
      <c r="C153" s="37"/>
      <c r="D153" s="37"/>
      <c r="E153" s="37"/>
      <c r="F153" s="37"/>
      <c r="G153" s="37" t="s">
        <v>122</v>
      </c>
      <c r="H153" s="37"/>
      <c r="I153" s="38"/>
    </row>
    <row r="154" customFormat="false" ht="15" hidden="false" customHeight="false" outlineLevel="0" collapsed="false">
      <c r="A154" s="39" t="s">
        <v>123</v>
      </c>
      <c r="B154" s="37"/>
      <c r="C154" s="37"/>
      <c r="D154" s="37"/>
      <c r="E154" s="37"/>
      <c r="F154" s="37"/>
      <c r="G154" s="37" t="s">
        <v>124</v>
      </c>
      <c r="H154" s="37"/>
      <c r="I154" s="38"/>
    </row>
    <row r="155" customFormat="false" ht="15" hidden="false" customHeight="false" outlineLevel="0" collapsed="false">
      <c r="A155" s="39" t="s">
        <v>125</v>
      </c>
      <c r="B155" s="37"/>
      <c r="C155" s="37"/>
      <c r="D155" s="37"/>
      <c r="E155" s="37"/>
      <c r="F155" s="37"/>
      <c r="G155" s="37" t="s">
        <v>122</v>
      </c>
      <c r="H155" s="37"/>
      <c r="I155" s="38"/>
    </row>
    <row r="156" customFormat="false" ht="15" hidden="false" customHeight="false" outlineLevel="0" collapsed="false">
      <c r="A156" s="39" t="s">
        <v>126</v>
      </c>
      <c r="B156" s="37"/>
      <c r="C156" s="37"/>
      <c r="D156" s="37"/>
      <c r="E156" s="37"/>
      <c r="F156" s="37"/>
      <c r="G156" s="37" t="s">
        <v>122</v>
      </c>
      <c r="H156" s="37"/>
      <c r="I156" s="38"/>
    </row>
    <row r="157" customFormat="false" ht="15" hidden="false" customHeight="false" outlineLevel="0" collapsed="false">
      <c r="A157" s="39" t="s">
        <v>127</v>
      </c>
      <c r="B157" s="37"/>
      <c r="C157" s="37"/>
      <c r="D157" s="37"/>
      <c r="E157" s="37"/>
      <c r="F157" s="37"/>
      <c r="G157" s="37" t="s">
        <v>124</v>
      </c>
      <c r="H157" s="37"/>
      <c r="I157" s="38"/>
    </row>
    <row r="158" customFormat="false" ht="15" hidden="false" customHeight="false" outlineLevel="0" collapsed="false">
      <c r="A158" s="39" t="s">
        <v>128</v>
      </c>
      <c r="B158" s="37"/>
      <c r="C158" s="37"/>
      <c r="D158" s="37"/>
      <c r="E158" s="37"/>
      <c r="F158" s="37"/>
      <c r="G158" s="37"/>
      <c r="H158" s="37"/>
      <c r="I158" s="38"/>
    </row>
    <row r="159" customFormat="false" ht="15" hidden="false" customHeight="false" outlineLevel="0" collapsed="false">
      <c r="A159" s="39" t="s">
        <v>129</v>
      </c>
      <c r="B159" s="37"/>
      <c r="C159" s="37"/>
      <c r="D159" s="37"/>
      <c r="E159" s="37"/>
      <c r="F159" s="37"/>
      <c r="G159" s="37"/>
      <c r="H159" s="37"/>
      <c r="I159" s="38"/>
    </row>
    <row r="160" customFormat="false" ht="15" hidden="false" customHeight="false" outlineLevel="0" collapsed="false">
      <c r="A160" s="39" t="s">
        <v>130</v>
      </c>
      <c r="B160" s="37"/>
      <c r="C160" s="37"/>
      <c r="D160" s="37"/>
      <c r="E160" s="37"/>
      <c r="F160" s="37"/>
      <c r="G160" s="37" t="s">
        <v>122</v>
      </c>
      <c r="H160" s="37"/>
      <c r="I160" s="38"/>
    </row>
    <row r="161" customFormat="false" ht="15" hidden="false" customHeight="false" outlineLevel="0" collapsed="false">
      <c r="A161" s="39" t="s">
        <v>131</v>
      </c>
      <c r="B161" s="37"/>
      <c r="C161" s="37"/>
      <c r="D161" s="37"/>
      <c r="E161" s="37"/>
      <c r="F161" s="37"/>
      <c r="G161" s="37" t="s">
        <v>122</v>
      </c>
      <c r="H161" s="37"/>
      <c r="I161" s="38"/>
    </row>
    <row r="162" customFormat="false" ht="15" hidden="false" customHeight="false" outlineLevel="0" collapsed="false">
      <c r="A162" s="39" t="s">
        <v>132</v>
      </c>
      <c r="B162" s="37"/>
      <c r="C162" s="37"/>
      <c r="D162" s="37"/>
      <c r="E162" s="37"/>
      <c r="F162" s="37"/>
      <c r="G162" s="37" t="s">
        <v>122</v>
      </c>
      <c r="H162" s="37"/>
      <c r="I162" s="38"/>
    </row>
    <row r="163" customFormat="false" ht="15" hidden="false" customHeight="false" outlineLevel="0" collapsed="false">
      <c r="A163" s="39" t="s">
        <v>133</v>
      </c>
      <c r="B163" s="37"/>
      <c r="C163" s="37"/>
      <c r="D163" s="37"/>
      <c r="E163" s="37"/>
      <c r="F163" s="37"/>
      <c r="G163" s="37" t="s">
        <v>134</v>
      </c>
      <c r="H163" s="37"/>
      <c r="I163" s="38"/>
    </row>
    <row r="164" customFormat="false" ht="15" hidden="false" customHeight="false" outlineLevel="0" collapsed="false">
      <c r="A164" s="39" t="s">
        <v>135</v>
      </c>
      <c r="B164" s="37"/>
      <c r="C164" s="37"/>
      <c r="D164" s="37"/>
      <c r="E164" s="37"/>
      <c r="F164" s="37"/>
      <c r="G164" s="37" t="s">
        <v>122</v>
      </c>
      <c r="H164" s="37"/>
      <c r="I164" s="38"/>
    </row>
    <row r="165" customFormat="false" ht="15" hidden="false" customHeight="false" outlineLevel="0" collapsed="false">
      <c r="A165" s="39" t="s">
        <v>136</v>
      </c>
      <c r="B165" s="37"/>
      <c r="C165" s="37"/>
      <c r="D165" s="37"/>
      <c r="E165" s="37"/>
      <c r="F165" s="37"/>
      <c r="G165" s="37" t="s">
        <v>137</v>
      </c>
      <c r="H165" s="37"/>
      <c r="I165" s="38"/>
    </row>
    <row r="166" customFormat="false" ht="15" hidden="false" customHeight="false" outlineLevel="0" collapsed="false">
      <c r="A166" s="39"/>
      <c r="B166" s="37"/>
      <c r="C166" s="37"/>
      <c r="D166" s="37"/>
      <c r="E166" s="37"/>
      <c r="F166" s="37"/>
      <c r="G166" s="37"/>
      <c r="H166" s="37"/>
      <c r="I166" s="38"/>
    </row>
    <row r="167" customFormat="false" ht="15" hidden="false" customHeight="false" outlineLevel="0" collapsed="false">
      <c r="A167" s="36" t="s">
        <v>138</v>
      </c>
      <c r="B167" s="37"/>
      <c r="C167" s="37"/>
      <c r="D167" s="37"/>
      <c r="E167" s="37"/>
      <c r="F167" s="37"/>
      <c r="G167" s="37"/>
      <c r="H167" s="37"/>
      <c r="I167" s="38"/>
    </row>
    <row r="168" customFormat="false" ht="15" hidden="false" customHeight="false" outlineLevel="0" collapsed="false">
      <c r="A168" s="39" t="s">
        <v>139</v>
      </c>
      <c r="B168" s="37"/>
      <c r="C168" s="37"/>
      <c r="D168" s="37"/>
      <c r="E168" s="37"/>
      <c r="F168" s="37"/>
      <c r="G168" s="37" t="s">
        <v>122</v>
      </c>
      <c r="H168" s="37"/>
      <c r="I168" s="38"/>
    </row>
    <row r="169" customFormat="false" ht="15" hidden="false" customHeight="false" outlineLevel="0" collapsed="false">
      <c r="A169" s="39" t="s">
        <v>140</v>
      </c>
      <c r="B169" s="37"/>
      <c r="C169" s="37"/>
      <c r="D169" s="37"/>
      <c r="E169" s="37"/>
      <c r="F169" s="37"/>
      <c r="G169" s="37" t="s">
        <v>122</v>
      </c>
      <c r="H169" s="37"/>
      <c r="I169" s="38"/>
    </row>
    <row r="170" customFormat="false" ht="15" hidden="false" customHeight="false" outlineLevel="0" collapsed="false">
      <c r="A170" s="39" t="s">
        <v>29</v>
      </c>
      <c r="B170" s="37"/>
      <c r="C170" s="37"/>
      <c r="D170" s="37"/>
      <c r="E170" s="37"/>
      <c r="F170" s="37"/>
      <c r="G170" s="37" t="s">
        <v>122</v>
      </c>
      <c r="H170" s="37"/>
      <c r="I170" s="38"/>
    </row>
    <row r="171" customFormat="false" ht="15" hidden="false" customHeight="false" outlineLevel="0" collapsed="false">
      <c r="A171" s="39" t="s">
        <v>141</v>
      </c>
      <c r="B171" s="37"/>
      <c r="C171" s="37"/>
      <c r="D171" s="37"/>
      <c r="E171" s="37"/>
      <c r="F171" s="37"/>
      <c r="G171" s="37" t="s">
        <v>142</v>
      </c>
      <c r="H171" s="37"/>
      <c r="I171" s="38"/>
    </row>
    <row r="172" customFormat="false" ht="15" hidden="false" customHeight="false" outlineLevel="0" collapsed="false">
      <c r="A172" s="39" t="s">
        <v>32</v>
      </c>
      <c r="B172" s="37"/>
      <c r="C172" s="37"/>
      <c r="D172" s="37"/>
      <c r="E172" s="37"/>
      <c r="F172" s="37"/>
      <c r="G172" s="37" t="s">
        <v>122</v>
      </c>
      <c r="H172" s="37"/>
      <c r="I172" s="38"/>
    </row>
    <row r="173" customFormat="false" ht="15" hidden="false" customHeight="false" outlineLevel="0" collapsed="false">
      <c r="A173" s="39" t="s">
        <v>34</v>
      </c>
      <c r="B173" s="37"/>
      <c r="C173" s="37"/>
      <c r="D173" s="37"/>
      <c r="E173" s="37"/>
      <c r="F173" s="37"/>
      <c r="G173" s="37" t="s">
        <v>143</v>
      </c>
      <c r="H173" s="37"/>
      <c r="I173" s="38"/>
    </row>
    <row r="174" customFormat="false" ht="15" hidden="false" customHeight="false" outlineLevel="0" collapsed="false">
      <c r="A174" s="39" t="s">
        <v>36</v>
      </c>
      <c r="B174" s="37"/>
      <c r="C174" s="37"/>
      <c r="D174" s="37"/>
      <c r="E174" s="37"/>
      <c r="F174" s="37"/>
      <c r="G174" s="37" t="s">
        <v>143</v>
      </c>
      <c r="H174" s="37"/>
      <c r="I174" s="38"/>
    </row>
    <row r="175" customFormat="false" ht="15" hidden="false" customHeight="false" outlineLevel="0" collapsed="false">
      <c r="A175" s="39" t="s">
        <v>38</v>
      </c>
      <c r="B175" s="37"/>
      <c r="C175" s="37"/>
      <c r="D175" s="37"/>
      <c r="E175" s="37"/>
      <c r="F175" s="37"/>
      <c r="G175" s="37" t="s">
        <v>142</v>
      </c>
      <c r="H175" s="37"/>
      <c r="I175" s="38"/>
    </row>
    <row r="176" customFormat="false" ht="15" hidden="false" customHeight="false" outlineLevel="0" collapsed="false">
      <c r="A176" s="39" t="s">
        <v>42</v>
      </c>
      <c r="B176" s="37"/>
      <c r="C176" s="37"/>
      <c r="D176" s="37"/>
      <c r="E176" s="37"/>
      <c r="F176" s="37"/>
      <c r="G176" s="37" t="s">
        <v>142</v>
      </c>
      <c r="H176" s="37"/>
      <c r="I176" s="38"/>
    </row>
    <row r="177" customFormat="false" ht="15" hidden="false" customHeight="false" outlineLevel="0" collapsed="false">
      <c r="A177" s="39" t="s">
        <v>44</v>
      </c>
      <c r="B177" s="37"/>
      <c r="C177" s="37"/>
      <c r="D177" s="37"/>
      <c r="E177" s="37"/>
      <c r="F177" s="37"/>
      <c r="G177" s="37" t="s">
        <v>144</v>
      </c>
      <c r="H177" s="37"/>
      <c r="I177" s="38"/>
    </row>
    <row r="178" customFormat="false" ht="15" hidden="false" customHeight="false" outlineLevel="0" collapsed="false">
      <c r="A178" s="39" t="s">
        <v>49</v>
      </c>
      <c r="B178" s="37"/>
      <c r="C178" s="37"/>
      <c r="D178" s="37"/>
      <c r="E178" s="37"/>
      <c r="F178" s="37"/>
      <c r="G178" s="37" t="s">
        <v>143</v>
      </c>
      <c r="H178" s="37"/>
      <c r="I178" s="38"/>
    </row>
    <row r="179" customFormat="false" ht="15" hidden="false" customHeight="false" outlineLevel="0" collapsed="false">
      <c r="A179" s="39" t="s">
        <v>48</v>
      </c>
      <c r="B179" s="37"/>
      <c r="C179" s="37"/>
      <c r="D179" s="37"/>
      <c r="E179" s="37"/>
      <c r="F179" s="37"/>
      <c r="G179" s="37" t="s">
        <v>145</v>
      </c>
      <c r="H179" s="37"/>
      <c r="I179" s="38"/>
    </row>
    <row r="180" customFormat="false" ht="15" hidden="false" customHeight="false" outlineLevel="0" collapsed="false">
      <c r="A180" s="39" t="s">
        <v>146</v>
      </c>
      <c r="B180" s="37"/>
      <c r="C180" s="37"/>
      <c r="D180" s="37"/>
      <c r="E180" s="37"/>
      <c r="F180" s="37"/>
      <c r="G180" s="37" t="s">
        <v>142</v>
      </c>
      <c r="H180" s="37"/>
      <c r="I180" s="38"/>
    </row>
    <row r="181" customFormat="false" ht="15" hidden="false" customHeight="false" outlineLevel="0" collapsed="false">
      <c r="A181" s="39" t="s">
        <v>147</v>
      </c>
      <c r="B181" s="37"/>
      <c r="C181" s="37"/>
      <c r="D181" s="37"/>
      <c r="E181" s="37"/>
      <c r="F181" s="37"/>
      <c r="G181" s="37" t="s">
        <v>143</v>
      </c>
      <c r="H181" s="37"/>
      <c r="I181" s="38"/>
    </row>
    <row r="562" customFormat="false" ht="15" hidden="false" customHeight="false" outlineLevel="0" collapsed="false">
      <c r="B562" s="13"/>
    </row>
  </sheetData>
  <hyperlinks>
    <hyperlink ref="C3" r:id="rId1" display="https://fabilab.or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1" activeCellId="0" sqref="G51"/>
    </sheetView>
  </sheetViews>
  <sheetFormatPr defaultColWidth="9.14453125" defaultRowHeight="15" zeroHeight="false" outlineLevelRow="0" outlineLevelCol="0"/>
  <cols>
    <col collapsed="false" customWidth="false" hidden="false" outlineLevel="0" max="16384" min="1" style="1" width="9.14"/>
  </cols>
  <sheetData>
    <row r="1" customFormat="false" ht="18.75" hidden="false" customHeight="false" outlineLevel="0" collapsed="false">
      <c r="A1" s="2" t="s">
        <v>0</v>
      </c>
      <c r="B1" s="3"/>
      <c r="C1" s="4" t="s">
        <v>1</v>
      </c>
      <c r="D1" s="3"/>
      <c r="E1" s="3"/>
      <c r="F1" s="3"/>
      <c r="G1" s="3"/>
    </row>
    <row r="2" customFormat="false" ht="18.75" hidden="false" customHeight="false" outlineLevel="0" collapsed="false">
      <c r="A2" s="5" t="s">
        <v>2</v>
      </c>
      <c r="B2" s="3"/>
      <c r="C2" s="5" t="s">
        <v>148</v>
      </c>
      <c r="D2" s="3"/>
      <c r="E2" s="3"/>
      <c r="F2" s="3"/>
      <c r="G2" s="3"/>
    </row>
    <row r="4" customFormat="false" ht="18.75" hidden="false" customHeight="false" outlineLevel="0" collapsed="false">
      <c r="A4" s="2" t="s">
        <v>149</v>
      </c>
    </row>
    <row r="6" customFormat="false" ht="18.75" hidden="false" customHeight="false" outlineLevel="0" collapsed="false">
      <c r="A6" s="6" t="s">
        <v>150</v>
      </c>
      <c r="B6" s="7"/>
      <c r="C6" s="7"/>
      <c r="D6" s="7"/>
      <c r="E6" s="26"/>
      <c r="F6" s="26"/>
      <c r="G6" s="26"/>
      <c r="H6" s="26"/>
      <c r="I6" s="26"/>
    </row>
    <row r="7" customFormat="false" ht="18.75" hidden="false" customHeight="false" outlineLevel="0" collapsed="false">
      <c r="A7" s="8" t="s">
        <v>151</v>
      </c>
      <c r="B7" s="7"/>
      <c r="C7" s="7"/>
      <c r="D7" s="7"/>
      <c r="E7" s="26"/>
      <c r="F7" s="26"/>
      <c r="G7" s="26"/>
      <c r="H7" s="26"/>
      <c r="I7" s="26"/>
    </row>
    <row r="8" customFormat="false" ht="15" hidden="false" customHeight="false" outlineLevel="0" collapsed="false">
      <c r="A8" s="26"/>
      <c r="B8" s="26"/>
      <c r="C8" s="26"/>
      <c r="D8" s="26"/>
      <c r="E8" s="26"/>
      <c r="F8" s="26"/>
      <c r="G8" s="26"/>
      <c r="H8" s="26"/>
      <c r="I8" s="26"/>
    </row>
    <row r="9" customFormat="false" ht="15" hidden="false" customHeight="false" outlineLevel="0" collapsed="false">
      <c r="A9" s="9" t="s">
        <v>152</v>
      </c>
      <c r="B9" s="10"/>
      <c r="C9" s="10"/>
      <c r="D9" s="10"/>
      <c r="E9" s="10"/>
      <c r="F9" s="10"/>
      <c r="G9" s="10"/>
      <c r="H9" s="10"/>
      <c r="I9" s="10"/>
    </row>
    <row r="11" customFormat="false" ht="15" hidden="false" customHeight="false" outlineLevel="0" collapsed="false">
      <c r="A11" s="11" t="n">
        <v>1.1</v>
      </c>
      <c r="B11" s="1" t="s">
        <v>153</v>
      </c>
    </row>
    <row r="12" customFormat="false" ht="15" hidden="false" customHeight="false" outlineLevel="0" collapsed="false">
      <c r="B12" s="1" t="s">
        <v>154</v>
      </c>
    </row>
    <row r="13" customFormat="false" ht="15" hidden="false" customHeight="false" outlineLevel="0" collapsed="false">
      <c r="B13" s="1" t="s">
        <v>155</v>
      </c>
    </row>
    <row r="14" customFormat="false" ht="15" hidden="false" customHeight="false" outlineLevel="0" collapsed="false">
      <c r="B14" s="11" t="s">
        <v>156</v>
      </c>
    </row>
    <row r="15" customFormat="false" ht="15" hidden="false" customHeight="false" outlineLevel="0" collapsed="false">
      <c r="A15" s="11" t="n">
        <v>1.2</v>
      </c>
      <c r="B15" s="1" t="s">
        <v>157</v>
      </c>
    </row>
    <row r="16" customFormat="false" ht="15" hidden="false" customHeight="false" outlineLevel="0" collapsed="false">
      <c r="B16" s="40" t="s">
        <v>158</v>
      </c>
    </row>
    <row r="17" customFormat="false" ht="15" hidden="false" customHeight="false" outlineLevel="0" collapsed="false">
      <c r="B17" s="13"/>
    </row>
    <row r="18" customFormat="false" ht="15" hidden="false" customHeight="false" outlineLevel="0" collapsed="false">
      <c r="A18" s="11" t="n">
        <v>1.3</v>
      </c>
      <c r="B18" s="1" t="s">
        <v>159</v>
      </c>
    </row>
    <row r="19" customFormat="false" ht="15" hidden="false" customHeight="false" outlineLevel="0" collapsed="false">
      <c r="B19" s="11" t="s">
        <v>10</v>
      </c>
    </row>
    <row r="20" customFormat="false" ht="15" hidden="false" customHeight="false" outlineLevel="0" collapsed="false">
      <c r="B20" s="1" t="s">
        <v>160</v>
      </c>
    </row>
    <row r="21" customFormat="false" ht="15" hidden="false" customHeight="false" outlineLevel="0" collapsed="false">
      <c r="B21" s="1" t="s">
        <v>161</v>
      </c>
    </row>
    <row r="23" customFormat="false" ht="15" hidden="false" customHeight="false" outlineLevel="0" collapsed="false">
      <c r="A23" s="9" t="s">
        <v>162</v>
      </c>
      <c r="B23" s="10"/>
      <c r="C23" s="10"/>
      <c r="D23" s="10"/>
      <c r="E23" s="10"/>
      <c r="F23" s="10"/>
      <c r="G23" s="10"/>
      <c r="H23" s="10"/>
      <c r="I23" s="10"/>
    </row>
    <row r="25" customFormat="false" ht="15" hidden="false" customHeight="false" outlineLevel="0" collapsed="false">
      <c r="A25" s="11" t="n">
        <v>2.1</v>
      </c>
      <c r="B25" s="1" t="s">
        <v>163</v>
      </c>
    </row>
    <row r="26" customFormat="false" ht="15" hidden="false" customHeight="false" outlineLevel="0" collapsed="false">
      <c r="B26" s="1" t="s">
        <v>164</v>
      </c>
    </row>
    <row r="27" customFormat="false" ht="15" hidden="false" customHeight="false" outlineLevel="0" collapsed="false">
      <c r="B27" s="1" t="s">
        <v>165</v>
      </c>
    </row>
    <row r="29" customFormat="false" ht="15" hidden="false" customHeight="false" outlineLevel="0" collapsed="false">
      <c r="A29" s="11" t="n">
        <v>2.2</v>
      </c>
      <c r="B29" s="1" t="s">
        <v>166</v>
      </c>
    </row>
    <row r="30" customFormat="false" ht="15" hidden="false" customHeight="false" outlineLevel="0" collapsed="false">
      <c r="B30" s="1" t="s">
        <v>167</v>
      </c>
    </row>
    <row r="31" customFormat="false" ht="15" hidden="false" customHeight="false" outlineLevel="0" collapsed="false">
      <c r="B31" s="1" t="s">
        <v>168</v>
      </c>
    </row>
    <row r="32" customFormat="false" ht="15" hidden="false" customHeight="false" outlineLevel="0" collapsed="false">
      <c r="B32" s="1" t="s">
        <v>169</v>
      </c>
    </row>
    <row r="34" customFormat="false" ht="15" hidden="false" customHeight="false" outlineLevel="0" collapsed="false">
      <c r="A34" s="11" t="n">
        <v>2.3</v>
      </c>
      <c r="B34" s="1" t="s">
        <v>170</v>
      </c>
    </row>
    <row r="36" customFormat="false" ht="15" hidden="false" customHeight="false" outlineLevel="0" collapsed="false">
      <c r="A36" s="11" t="n">
        <v>2.4</v>
      </c>
      <c r="B36" s="1" t="s">
        <v>171</v>
      </c>
    </row>
    <row r="37" customFormat="false" ht="15" hidden="false" customHeight="false" outlineLevel="0" collapsed="false">
      <c r="B37" s="12" t="s">
        <v>172</v>
      </c>
    </row>
    <row r="38" customFormat="false" ht="15" hidden="false" customHeight="false" outlineLevel="0" collapsed="false">
      <c r="B38" s="12" t="s">
        <v>173</v>
      </c>
    </row>
    <row r="39" customFormat="false" ht="15" hidden="false" customHeight="false" outlineLevel="0" collapsed="false">
      <c r="B39" s="12" t="s">
        <v>174</v>
      </c>
    </row>
    <row r="41" customFormat="false" ht="15" hidden="false" customHeight="false" outlineLevel="0" collapsed="false">
      <c r="A41" s="11" t="n">
        <v>2.5</v>
      </c>
      <c r="B41" s="1" t="s">
        <v>175</v>
      </c>
    </row>
    <row r="42" customFormat="false" ht="15" hidden="false" customHeight="false" outlineLevel="0" collapsed="false">
      <c r="B42" s="1" t="s">
        <v>176</v>
      </c>
    </row>
    <row r="43" customFormat="false" ht="15" hidden="false" customHeight="false" outlineLevel="0" collapsed="false">
      <c r="B43" s="11" t="s">
        <v>10</v>
      </c>
    </row>
    <row r="44" customFormat="false" ht="15" hidden="false" customHeight="false" outlineLevel="0" collapsed="false">
      <c r="B44" s="1" t="s">
        <v>177</v>
      </c>
    </row>
    <row r="45" customFormat="false" ht="15" hidden="false" customHeight="false" outlineLevel="0" collapsed="false">
      <c r="B45" s="1" t="s">
        <v>178</v>
      </c>
    </row>
    <row r="46" customFormat="false" ht="15" hidden="false" customHeight="false" outlineLevel="0" collapsed="false">
      <c r="B46" s="13"/>
    </row>
    <row r="47" customFormat="false" ht="15" hidden="false" customHeight="false" outlineLevel="0" collapsed="false">
      <c r="B47" s="11"/>
    </row>
    <row r="67" customFormat="false" ht="15" hidden="false" customHeight="false" outlineLevel="0" collapsed="false">
      <c r="A67" s="41"/>
      <c r="B67" s="42"/>
      <c r="C67" s="42"/>
      <c r="D67" s="42"/>
      <c r="E67" s="42"/>
      <c r="F67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53F52C43B2644A1AB03970F857BE0" ma:contentTypeVersion="14" ma:contentTypeDescription="Create a new document." ma:contentTypeScope="" ma:versionID="b131bc89b47fe1406344300d24c8d2f2">
  <xsd:schema xmlns:xsd="http://www.w3.org/2001/XMLSchema" xmlns:xs="http://www.w3.org/2001/XMLSchema" xmlns:p="http://schemas.microsoft.com/office/2006/metadata/properties" xmlns:ns3="e3b069aa-4981-403f-b939-3ae45d9d7744" xmlns:ns4="71f61fe1-e89c-442e-a4d2-0d8379ac7d0d" targetNamespace="http://schemas.microsoft.com/office/2006/metadata/properties" ma:root="true" ma:fieldsID="a8064e4ff6023d1985c36c4e17e93692" ns3:_="" ns4:_="">
    <xsd:import namespace="e3b069aa-4981-403f-b939-3ae45d9d7744"/>
    <xsd:import namespace="71f61fe1-e89c-442e-a4d2-0d8379ac7d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69aa-4981-403f-b939-3ae45d9d7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61fe1-e89c-442e-a4d2-0d8379ac7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b069aa-4981-403f-b939-3ae45d9d7744" xsi:nil="true"/>
  </documentManagement>
</p:properties>
</file>

<file path=customXml/itemProps1.xml><?xml version="1.0" encoding="utf-8"?>
<ds:datastoreItem xmlns:ds="http://schemas.openxmlformats.org/officeDocument/2006/customXml" ds:itemID="{66C41402-FA9B-4607-99B1-3993CC659588}"/>
</file>

<file path=customXml/itemProps2.xml><?xml version="1.0" encoding="utf-8"?>
<ds:datastoreItem xmlns:ds="http://schemas.openxmlformats.org/officeDocument/2006/customXml" ds:itemID="{12CD342C-03AB-4C78-8BFB-B62E788004A7}"/>
</file>

<file path=customXml/itemProps3.xml><?xml version="1.0" encoding="utf-8"?>
<ds:datastoreItem xmlns:ds="http://schemas.openxmlformats.org/officeDocument/2006/customXml" ds:itemID="{083F7C66-B471-4440-BE42-949755F9A3F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2023-05-15T01:37:17Z</dcterms:created>
  <dc:creator>Catherine Gatt</dc:creator>
  <dc:description/>
  <dc:language>en-US</dc:language>
  <cp:lastModifiedBy>Fabio Zanini</cp:lastModifiedBy>
  <dcterms:modified xsi:type="dcterms:W3CDTF">2023-06-07T15:23:51Z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0x010100FAB53F52C43B2644A1AB03970F857BE0</vt:lpwstr>
  </property>
</Properties>
</file>